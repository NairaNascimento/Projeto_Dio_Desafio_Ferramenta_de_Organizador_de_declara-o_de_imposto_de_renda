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naira\Documents\CURSOS\Bootcamp Santander Excel com inteligencia artificial\"/>
    </mc:Choice>
  </mc:AlternateContent>
  <bookViews>
    <workbookView xWindow="0" yWindow="0" windowWidth="20490" windowHeight="6750" tabRatio="0"/>
  </bookViews>
  <sheets>
    <sheet name="Títular" sheetId="1" r:id="rId1"/>
    <sheet name="Informes" sheetId="2" r:id="rId2"/>
    <sheet name="Notas" sheetId="3" r:id="rId3"/>
    <sheet name="Tabel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3" l="1"/>
  <c r="E31" i="3"/>
  <c r="I6" i="3"/>
  <c r="H6" i="3"/>
  <c r="G6" i="3"/>
  <c r="E6" i="3"/>
  <c r="D6" i="3"/>
  <c r="C6" i="3"/>
  <c r="C7" i="2" l="1"/>
</calcChain>
</file>

<file path=xl/sharedStrings.xml><?xml version="1.0" encoding="utf-8"?>
<sst xmlns="http://schemas.openxmlformats.org/spreadsheetml/2006/main" count="140" uniqueCount="105">
  <si>
    <t>NOME</t>
  </si>
  <si>
    <t>CPF</t>
  </si>
  <si>
    <t>NASCIMENTO</t>
  </si>
  <si>
    <t>RUA ABREVIADA</t>
  </si>
  <si>
    <t>CEP</t>
  </si>
  <si>
    <t>TELEFONE</t>
  </si>
  <si>
    <t>CELULAR</t>
  </si>
  <si>
    <t>HOUVE ALTERAÇÕES DA ENTREGA ANTERIOR</t>
  </si>
  <si>
    <t>DEPENDENTE CÔNJUGE</t>
  </si>
  <si>
    <t>RESIDENTE DO EXTERIOR</t>
  </si>
  <si>
    <t>CÔNJUNGE</t>
  </si>
  <si>
    <t>TÍTULO DE ELEITOR</t>
  </si>
  <si>
    <t xml:space="preserve">RUA </t>
  </si>
  <si>
    <t>E-MAIL</t>
  </si>
  <si>
    <t>1. DADOS DO TÍTULAR</t>
  </si>
  <si>
    <t>Preenchar os dados da sua pessoa física abaixo</t>
  </si>
  <si>
    <t>NÃO</t>
  </si>
  <si>
    <t>SNOOPY CHARLES</t>
  </si>
  <si>
    <t>SNOOPYCHARLES@EMAIL.COM</t>
  </si>
  <si>
    <t>Rua dos limoeiros Rodrigues, - Nº 123</t>
  </si>
  <si>
    <t>Rua dos limoeiros R, - Nº 123</t>
  </si>
  <si>
    <t>Lola Buny</t>
  </si>
  <si>
    <t>1. INFORMES DE RENDIMENTOS BANCÁRIOS</t>
  </si>
  <si>
    <t>Preenchar com os seus dados atuais de cada conta banco</t>
  </si>
  <si>
    <t>BANCO</t>
  </si>
  <si>
    <t>VALOR ATUAL</t>
  </si>
  <si>
    <t xml:space="preserve">ANEXO📎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</si>
  <si>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</si>
  <si>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</si>
  <si>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</si>
  <si>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</si>
  <si>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</si>
  <si>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</si>
  <si>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</si>
  <si>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</si>
  <si>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</si>
  <si>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</si>
  <si>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</si>
  <si>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</si>
  <si>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</si>
  <si>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</si>
  <si>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</si>
  <si>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</si>
  <si>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</si>
  <si>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</si>
  <si>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</si>
  <si>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</si>
  <si>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</si>
  <si>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</si>
  <si>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</si>
  <si>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</si>
  <si>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</si>
  <si>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</si>
  <si>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</si>
  <si>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</si>
  <si>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</si>
  <si>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</si>
  <si>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</si>
  <si>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</si>
  <si>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</si>
  <si>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</si>
  <si>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</si>
  <si>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</si>
  <si>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</si>
  <si>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</si>
  <si>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</si>
  <si>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</si>
  <si>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</si>
  <si>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</si>
  <si>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</si>
  <si>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</si>
  <si>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</si>
  <si>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</si>
  <si>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</si>
  <si>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</si>
  <si>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</si>
  <si>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</si>
  <si>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</si>
  <si>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</si>
  <si>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</si>
  <si>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</si>
  <si>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</si>
  <si>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</si>
  <si>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1. NOTAS BANCÁRIAS OU EXTRATOS DE HOLERITES</t>
  </si>
  <si>
    <t>DATA</t>
  </si>
  <si>
    <t>CATEGORIA</t>
  </si>
  <si>
    <t>VALOR</t>
  </si>
  <si>
    <t>ENTRADAS</t>
  </si>
  <si>
    <t>Holerite</t>
  </si>
  <si>
    <t>SAÍDAS</t>
  </si>
  <si>
    <t>2. NOTAS DEDUTÍVEIS</t>
  </si>
  <si>
    <t>São todos os valores de saida mês a mês de despesa</t>
  </si>
  <si>
    <t>São todos os valores de entrada mês a mês de receita</t>
  </si>
  <si>
    <t>Médico</t>
  </si>
  <si>
    <t>PJ</t>
  </si>
  <si>
    <t>Freelancer</t>
  </si>
  <si>
    <t>Doação</t>
  </si>
  <si>
    <t>Educação</t>
  </si>
  <si>
    <t>Total Holerite</t>
  </si>
  <si>
    <t>Total Pj</t>
  </si>
  <si>
    <t>Total Freelancer</t>
  </si>
  <si>
    <t>Total Médico</t>
  </si>
  <si>
    <t>Total Educação</t>
  </si>
  <si>
    <t>Total Doações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</si>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</sst>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R$&quot;#,##0.00;[Red]\-&quot;R$&quot;#,##0.00"/>
    <numFmt numFmtId="44" formatCode="_-&quot;R$&quot;* #,##0.00_-;\-&quot;R$&quot;* #,##0.00_-;_-&quot;R$&quot;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#,##0.00"/>
    <numFmt numFmtId="169" formatCode="mmmm\-yyyy"/>
  </numFmts>
  <fonts count="1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5"/>
      <color rgb="FF8B57F3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8"/>
      <color theme="0" tint="-0.499984740745262"/>
      <name val="Calibri"/>
      <family val="2"/>
      <scheme val="minor"/>
    </font>
    <font>
      <b/>
      <sz val="14"/>
      <color rgb="FF9C6500"/>
      <name val="Calibri"/>
      <family val="2"/>
      <scheme val="minor"/>
    </font>
    <font>
      <sz val="11"/>
      <color theme="0"/>
      <name val="Segoe UI Light"/>
      <family val="2"/>
    </font>
    <font>
      <b/>
      <sz val="11"/>
      <color theme="0"/>
      <name val="Segoe UI"/>
      <family val="2"/>
    </font>
    <font>
      <sz val="11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424C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424CD"/>
      </bottom>
      <diagonal/>
    </border>
    <border>
      <left/>
      <right/>
      <top style="thick">
        <color rgb="FFE424CD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44" fontId="14" fillId="0" borderId="0" applyFont="0" applyFill="0" applyBorder="0" applyAlignment="0" applyProtection="0"/>
  </cellStyleXfs>
  <cellXfs count="28">
    <xf numFmtId="0" fontId="0" fillId="0" borderId="0" xfId="0"/>
    <xf numFmtId="0" fontId="0" fillId="4" borderId="0" xfId="0" applyFill="1"/>
    <xf numFmtId="0" fontId="4" fillId="0" borderId="0" xfId="0" applyFont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0" fillId="0" borderId="0" xfId="0" applyAlignment="1">
      <alignment horizontal="left"/>
    </xf>
    <xf numFmtId="0" fontId="8" fillId="0" borderId="0" xfId="0" applyFont="1"/>
    <xf numFmtId="0" fontId="9" fillId="3" borderId="0" xfId="0" applyFont="1" applyFill="1"/>
    <xf numFmtId="0" fontId="10" fillId="0" borderId="0" xfId="0" applyFont="1"/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7" fillId="2" borderId="2" xfId="3" applyFill="1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69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8" fontId="3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top"/>
    </xf>
    <xf numFmtId="168" fontId="15" fillId="0" borderId="0" xfId="4" applyNumberFormat="1" applyFont="1" applyAlignment="1">
      <alignment horizontal="center" vertical="top"/>
    </xf>
    <xf numFmtId="0" fontId="13" fillId="0" borderId="0" xfId="0" applyFont="1" applyAlignment="1" applyProtection="1">
      <alignment horizontal="center" vertical="center"/>
      <protection locked="0"/>
    </xf>
    <xf numFmtId="0" fontId="6" fillId="5" borderId="4" xfId="0" applyFont="1" applyFill="1" applyBorder="1" applyAlignment="1">
      <alignment horizontal="left" vertical="center" indent="3"/>
    </xf>
    <xf numFmtId="168" fontId="11" fillId="2" borderId="0" xfId="2" applyNumberFormat="1" applyFont="1" applyAlignment="1">
      <alignment horizontal="center"/>
    </xf>
    <xf numFmtId="0" fontId="11" fillId="2" borderId="0" xfId="2" applyFont="1" applyAlignment="1">
      <alignment horizontal="center"/>
    </xf>
    <xf numFmtId="0" fontId="1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5">
    <cellStyle name="Hiperlink" xfId="3" builtinId="8"/>
    <cellStyle name="Moeda" xfId="4" builtinId="4"/>
    <cellStyle name="Neutra" xfId="2" builtinId="28"/>
    <cellStyle name="Normal" xfId="0" builtinId="0"/>
    <cellStyle name="Título 1" xfId="1" builtinId="16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2" formatCode="&quot;R$&quot;#,##0.00;[Red]\-&quot;R$&quot;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69" formatCode="mmmm\-yyyy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2" formatCode="&quot;R$&quot;#,##0.00;[Red]\-&quot;R$&quot;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69" formatCode="mmmm\-yyyy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auto="1"/>
          <bgColor rgb="FFFFCCFF"/>
        </patternFill>
      </fill>
    </dxf>
    <dxf>
      <fill>
        <patternFill patternType="solid">
          <fgColor auto="1"/>
          <bgColor rgb="FFFF66FF"/>
        </patternFill>
      </fill>
    </dxf>
    <dxf>
      <fill>
        <gradientFill degree="45">
          <stop position="0">
            <color rgb="FFE424CD"/>
          </stop>
          <stop position="1">
            <color rgb="FF8B57F3"/>
          </stop>
        </gradientFill>
      </fill>
      <border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1" defaultTableStyle="TableStyleMedium2" defaultPivotStyle="PivotStyleLight16">
    <tableStyle name="Estilo de Tabela 1" pivot="0" count="3">
      <tableStyleElement type="wholeTable" dxfId="18"/>
      <tableStyleElement type="firstRowStripe" dxfId="17"/>
      <tableStyleElement type="secondRowStripe" dxfId="16"/>
    </tableStyle>
  </tableStyles>
  <colors>
    <mruColors>
      <color rgb="FFFF66CC"/>
      <color rgb="FFFFCCFF"/>
      <color rgb="FFE424CD"/>
      <color rgb="FFFF9999"/>
      <color rgb="FF8B57F3"/>
      <color rgb="FFFF66FF"/>
      <color rgb="FF5796F3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430337118924328E-2"/>
          <c:y val="6.3624110610284335E-2"/>
          <c:w val="0.93888888888888888"/>
          <c:h val="0.46140578568257529"/>
        </c:manualLayout>
      </c:layout>
      <c:barChart>
        <c:barDir val="bar"/>
        <c:grouping val="clustered"/>
        <c:varyColors val="0"/>
        <c:ser>
          <c:idx val="0"/>
          <c:order val="0"/>
          <c:tx>
            <c:v>Entradas</c:v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Notas!$E$31</c:f>
              <c:numCache>
                <c:formatCode>"R$"#,##0.00_);[Red]\("R$"#,##0.00\)</c:formatCode>
                <c:ptCount val="1"/>
                <c:pt idx="0">
                  <c:v>18300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E-40F2-9932-E7BE95E866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2790335"/>
        <c:axId val="1872764543"/>
      </c:barChart>
      <c:barChart>
        <c:barDir val="bar"/>
        <c:grouping val="clustered"/>
        <c:varyColors val="0"/>
        <c:ser>
          <c:idx val="1"/>
          <c:order val="1"/>
          <c:tx>
            <c:v>Saídas</c:v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Notas!$I$31</c:f>
              <c:numCache>
                <c:formatCode>"R$"#,##0.00_);[Red]\("R$"#,##0.00\)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E-40F2-9932-E7BE95E86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2780351"/>
        <c:axId val="1872782847"/>
      </c:barChart>
      <c:catAx>
        <c:axId val="187279033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72764543"/>
        <c:crosses val="autoZero"/>
        <c:auto val="1"/>
        <c:lblAlgn val="ctr"/>
        <c:lblOffset val="100"/>
        <c:noMultiLvlLbl val="0"/>
      </c:catAx>
      <c:valAx>
        <c:axId val="1872764543"/>
        <c:scaling>
          <c:orientation val="minMax"/>
        </c:scaling>
        <c:delete val="1"/>
        <c:axPos val="b"/>
        <c:numFmt formatCode="&quot;R$&quot;#,##0.00_);[Red]\(&quot;R$&quot;#,##0.00\)" sourceLinked="1"/>
        <c:majorTickMark val="none"/>
        <c:minorTickMark val="none"/>
        <c:tickLblPos val="nextTo"/>
        <c:crossAx val="1872790335"/>
        <c:crosses val="autoZero"/>
        <c:crossBetween val="between"/>
      </c:valAx>
      <c:valAx>
        <c:axId val="1872782847"/>
        <c:scaling>
          <c:orientation val="minMax"/>
        </c:scaling>
        <c:delete val="1"/>
        <c:axPos val="t"/>
        <c:numFmt formatCode="&quot;R$&quot;#,##0.00_);[Red]\(&quot;R$&quot;#,##0.00\)" sourceLinked="1"/>
        <c:majorTickMark val="out"/>
        <c:minorTickMark val="none"/>
        <c:tickLblPos val="nextTo"/>
        <c:crossAx val="1872780351"/>
        <c:crosses val="max"/>
        <c:crossBetween val="between"/>
      </c:valAx>
      <c:catAx>
        <c:axId val="1872780351"/>
        <c:scaling>
          <c:orientation val="minMax"/>
        </c:scaling>
        <c:delete val="1"/>
        <c:axPos val="l"/>
        <c:majorTickMark val="out"/>
        <c:minorTickMark val="none"/>
        <c:tickLblPos val="nextTo"/>
        <c:crossAx val="1872782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913741165720932"/>
          <c:y val="0.38549919809943567"/>
          <c:w val="0.15285235339149117"/>
          <c:h val="0.21428742835888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na&#237;ra-pereira-do-nascimento-b3362136a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na&#237;ra-pereira-do-nascimento-b3362136a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na&#237;ra-pereira-do-nascimento-b3362136a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114300</xdr:rowOff>
    </xdr:to>
    <xdr:sp macro="" textlink="">
      <xdr:nvSpPr>
        <xdr:cNvPr id="1026" name="AutoShape 2" descr="Lion - Free animals icons"/>
        <xdr:cNvSpPr>
          <a:spLocks noChangeAspect="1" noChangeArrowheads="1"/>
        </xdr:cNvSpPr>
      </xdr:nvSpPr>
      <xdr:spPr bwMode="auto">
        <a:xfrm>
          <a:off x="24098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566739</xdr:colOff>
      <xdr:row>2</xdr:row>
      <xdr:rowOff>200025</xdr:rowOff>
    </xdr:from>
    <xdr:to>
      <xdr:col>0</xdr:col>
      <xdr:colOff>1509714</xdr:colOff>
      <xdr:row>7</xdr:row>
      <xdr:rowOff>9525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9" y="581025"/>
          <a:ext cx="942975" cy="942975"/>
        </a:xfrm>
        <a:prstGeom prst="rect">
          <a:avLst/>
        </a:prstGeom>
      </xdr:spPr>
    </xdr:pic>
    <xdr:clientData/>
  </xdr:twoCellAnchor>
  <xdr:twoCellAnchor>
    <xdr:from>
      <xdr:col>0</xdr:col>
      <xdr:colOff>9526</xdr:colOff>
      <xdr:row>0</xdr:row>
      <xdr:rowOff>47625</xdr:rowOff>
    </xdr:from>
    <xdr:to>
      <xdr:col>0</xdr:col>
      <xdr:colOff>2066926</xdr:colOff>
      <xdr:row>2</xdr:row>
      <xdr:rowOff>76200</xdr:rowOff>
    </xdr:to>
    <xdr:sp macro="" textlink="">
      <xdr:nvSpPr>
        <xdr:cNvPr id="3" name="Retângulo 2"/>
        <xdr:cNvSpPr/>
      </xdr:nvSpPr>
      <xdr:spPr>
        <a:xfrm>
          <a:off x="9526" y="47625"/>
          <a:ext cx="20574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20000">
                    <a:schemeClr val="bg1">
                      <a:lumMod val="95000"/>
                    </a:schemeClr>
                  </a:gs>
                  <a:gs pos="71000">
                    <a:srgbClr val="E424CD"/>
                  </a:gs>
                  <a:gs pos="100000">
                    <a:srgbClr val="8B57F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>
              <a:latin typeface="Arial Black" panose="020B0A04020102020204" pitchFamily="34" charset="0"/>
            </a:rPr>
            <a:t> </a:t>
          </a:r>
          <a:r>
            <a:rPr lang="pt-BR" sz="2000">
              <a:gradFill flip="none" rotWithShape="1">
                <a:gsLst>
                  <a:gs pos="41000">
                    <a:srgbClr val="E424CD">
                      <a:lumMod val="67000"/>
                      <a:lumOff val="33000"/>
                    </a:srgbClr>
                  </a:gs>
                  <a:gs pos="72584">
                    <a:srgbClr val="A14AEA"/>
                  </a:gs>
                  <a:gs pos="75000">
                    <a:srgbClr val="8B57F3"/>
                  </a:gs>
                  <a:gs pos="100000">
                    <a:srgbClr val="5796F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185737</xdr:colOff>
      <xdr:row>7</xdr:row>
      <xdr:rowOff>180975</xdr:rowOff>
    </xdr:from>
    <xdr:to>
      <xdr:col>0</xdr:col>
      <xdr:colOff>1919287</xdr:colOff>
      <xdr:row>10</xdr:row>
      <xdr:rowOff>9525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85737" y="1695450"/>
          <a:ext cx="1733550" cy="457200"/>
        </a:xfrm>
        <a:prstGeom prst="roundRect">
          <a:avLst>
            <a:gd name="adj" fmla="val 50000"/>
          </a:avLst>
        </a:prstGeom>
        <a:gradFill>
          <a:gsLst>
            <a:gs pos="18000">
              <a:srgbClr val="E424CD">
                <a:lumMod val="67000"/>
                <a:lumOff val="33000"/>
              </a:srgbClr>
            </a:gs>
            <a:gs pos="72584">
              <a:srgbClr val="A14AEA"/>
            </a:gs>
            <a:gs pos="82000">
              <a:srgbClr val="8B57F3">
                <a:alpha val="79000"/>
                <a:lumMod val="80000"/>
                <a:lumOff val="20000"/>
              </a:srgbClr>
            </a:gs>
          </a:gsLst>
          <a:lin ang="189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185737</xdr:colOff>
      <xdr:row>10</xdr:row>
      <xdr:rowOff>95250</xdr:rowOff>
    </xdr:from>
    <xdr:to>
      <xdr:col>0</xdr:col>
      <xdr:colOff>1919287</xdr:colOff>
      <xdr:row>12</xdr:row>
      <xdr:rowOff>133350</xdr:rowOff>
    </xdr:to>
    <xdr:sp macro="" textlink="">
      <xdr:nvSpPr>
        <xdr:cNvPr id="9" name="Retângulo Arredondado 8">
          <a:hlinkClick xmlns:r="http://schemas.openxmlformats.org/officeDocument/2006/relationships" r:id="rId3"/>
        </xdr:cNvPr>
        <xdr:cNvSpPr/>
      </xdr:nvSpPr>
      <xdr:spPr>
        <a:xfrm>
          <a:off x="185737" y="2238375"/>
          <a:ext cx="173355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185737</xdr:colOff>
      <xdr:row>13</xdr:row>
      <xdr:rowOff>9525</xdr:rowOff>
    </xdr:from>
    <xdr:to>
      <xdr:col>0</xdr:col>
      <xdr:colOff>1919287</xdr:colOff>
      <xdr:row>15</xdr:row>
      <xdr:rowOff>47625</xdr:rowOff>
    </xdr:to>
    <xdr:sp macro="" textlink="">
      <xdr:nvSpPr>
        <xdr:cNvPr id="10" name="Retângulo Arredondado 9">
          <a:hlinkClick xmlns:r="http://schemas.openxmlformats.org/officeDocument/2006/relationships" r:id="rId4"/>
        </xdr:cNvPr>
        <xdr:cNvSpPr/>
      </xdr:nvSpPr>
      <xdr:spPr>
        <a:xfrm>
          <a:off x="185737" y="2781300"/>
          <a:ext cx="173355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398069</xdr:colOff>
      <xdr:row>18</xdr:row>
      <xdr:rowOff>114301</xdr:rowOff>
    </xdr:from>
    <xdr:to>
      <xdr:col>0</xdr:col>
      <xdr:colOff>1626794</xdr:colOff>
      <xdr:row>20</xdr:row>
      <xdr:rowOff>66675</xdr:rowOff>
    </xdr:to>
    <xdr:sp macro="" textlink="">
      <xdr:nvSpPr>
        <xdr:cNvPr id="5" name="Retângulo 4"/>
        <xdr:cNvSpPr/>
      </xdr:nvSpPr>
      <xdr:spPr>
        <a:xfrm>
          <a:off x="398069" y="3581401"/>
          <a:ext cx="122872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NAÍ </a:t>
          </a:r>
          <a:r>
            <a:rPr lang="pt-BR" sz="1100" baseline="0">
              <a:solidFill>
                <a:srgbClr val="E424CD"/>
              </a:solidFill>
            </a:rPr>
            <a:t>💜</a:t>
          </a:r>
          <a:endParaRPr lang="pt-BR" sz="1100">
            <a:solidFill>
              <a:srgbClr val="E424CD"/>
            </a:solidFill>
          </a:endParaRPr>
        </a:p>
      </xdr:txBody>
    </xdr:sp>
    <xdr:clientData/>
  </xdr:twoCellAnchor>
  <xdr:twoCellAnchor editAs="absolute">
    <xdr:from>
      <xdr:col>0</xdr:col>
      <xdr:colOff>323850</xdr:colOff>
      <xdr:row>18</xdr:row>
      <xdr:rowOff>80962</xdr:rowOff>
    </xdr:from>
    <xdr:to>
      <xdr:col>0</xdr:col>
      <xdr:colOff>1701012</xdr:colOff>
      <xdr:row>18</xdr:row>
      <xdr:rowOff>95251</xdr:rowOff>
    </xdr:to>
    <xdr:cxnSp macro="">
      <xdr:nvCxnSpPr>
        <xdr:cNvPr id="11" name="Conector reto 10"/>
        <xdr:cNvCxnSpPr/>
      </xdr:nvCxnSpPr>
      <xdr:spPr>
        <a:xfrm flipV="1">
          <a:off x="323850" y="3548062"/>
          <a:ext cx="1377162" cy="14289"/>
        </a:xfrm>
        <a:prstGeom prst="line">
          <a:avLst/>
        </a:prstGeom>
        <a:ln w="22225">
          <a:gradFill>
            <a:gsLst>
              <a:gs pos="0">
                <a:srgbClr val="E424CD"/>
              </a:gs>
              <a:gs pos="74000">
                <a:srgbClr val="8B57F3"/>
              </a:gs>
              <a:gs pos="100000">
                <a:srgbClr val="5796F3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19</xdr:row>
      <xdr:rowOff>133350</xdr:rowOff>
    </xdr:from>
    <xdr:to>
      <xdr:col>0</xdr:col>
      <xdr:colOff>1193800</xdr:colOff>
      <xdr:row>21</xdr:row>
      <xdr:rowOff>57150</xdr:rowOff>
    </xdr:to>
    <xdr:pic>
      <xdr:nvPicPr>
        <xdr:cNvPr id="16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4162425"/>
          <a:ext cx="304800" cy="304800"/>
        </a:xfrm>
        <a:prstGeom prst="rect">
          <a:avLst/>
        </a:prstGeom>
      </xdr:spPr>
    </xdr:pic>
    <xdr:clientData/>
  </xdr:twoCellAnchor>
  <xdr:twoCellAnchor editAs="absolute">
    <xdr:from>
      <xdr:col>3</xdr:col>
      <xdr:colOff>1</xdr:colOff>
      <xdr:row>19</xdr:row>
      <xdr:rowOff>76199</xdr:rowOff>
    </xdr:from>
    <xdr:to>
      <xdr:col>3</xdr:col>
      <xdr:colOff>2876551</xdr:colOff>
      <xdr:row>21</xdr:row>
      <xdr:rowOff>133350</xdr:rowOff>
    </xdr:to>
    <xdr:sp macro="" textlink="">
      <xdr:nvSpPr>
        <xdr:cNvPr id="17" name="Retângulo 16">
          <a:hlinkClick xmlns:r="http://schemas.openxmlformats.org/officeDocument/2006/relationships" r:id="rId3"/>
        </xdr:cNvPr>
        <xdr:cNvSpPr/>
      </xdr:nvSpPr>
      <xdr:spPr>
        <a:xfrm>
          <a:off x="5505451" y="4105274"/>
          <a:ext cx="2876550" cy="438151"/>
        </a:xfrm>
        <a:prstGeom prst="rect">
          <a:avLst/>
        </a:prstGeom>
        <a:solidFill>
          <a:srgbClr val="8B57F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-&gt;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114300</xdr:rowOff>
    </xdr:to>
    <xdr:sp macro="" textlink="">
      <xdr:nvSpPr>
        <xdr:cNvPr id="2" name="AutoShape 2" descr="Lion - Free animals icons"/>
        <xdr:cNvSpPr>
          <a:spLocks noChangeAspect="1" noChangeArrowheads="1"/>
        </xdr:cNvSpPr>
      </xdr:nvSpPr>
      <xdr:spPr bwMode="auto">
        <a:xfrm>
          <a:off x="26860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566739</xdr:colOff>
      <xdr:row>2</xdr:row>
      <xdr:rowOff>200025</xdr:rowOff>
    </xdr:from>
    <xdr:to>
      <xdr:col>0</xdr:col>
      <xdr:colOff>1509714</xdr:colOff>
      <xdr:row>6</xdr:row>
      <xdr:rowOff>209550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9" y="581025"/>
          <a:ext cx="942975" cy="942975"/>
        </a:xfrm>
        <a:prstGeom prst="rect">
          <a:avLst/>
        </a:prstGeom>
      </xdr:spPr>
    </xdr:pic>
    <xdr:clientData/>
  </xdr:twoCellAnchor>
  <xdr:twoCellAnchor>
    <xdr:from>
      <xdr:col>0</xdr:col>
      <xdr:colOff>9526</xdr:colOff>
      <xdr:row>0</xdr:row>
      <xdr:rowOff>47625</xdr:rowOff>
    </xdr:from>
    <xdr:to>
      <xdr:col>0</xdr:col>
      <xdr:colOff>2066926</xdr:colOff>
      <xdr:row>2</xdr:row>
      <xdr:rowOff>76200</xdr:rowOff>
    </xdr:to>
    <xdr:sp macro="" textlink="">
      <xdr:nvSpPr>
        <xdr:cNvPr id="4" name="Retângulo 3"/>
        <xdr:cNvSpPr/>
      </xdr:nvSpPr>
      <xdr:spPr>
        <a:xfrm>
          <a:off x="9526" y="47625"/>
          <a:ext cx="20574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20000">
                    <a:schemeClr val="bg1">
                      <a:lumMod val="95000"/>
                    </a:schemeClr>
                  </a:gs>
                  <a:gs pos="71000">
                    <a:srgbClr val="E424CD"/>
                  </a:gs>
                  <a:gs pos="100000">
                    <a:srgbClr val="8B57F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>
              <a:latin typeface="Arial Black" panose="020B0A04020102020204" pitchFamily="34" charset="0"/>
            </a:rPr>
            <a:t> </a:t>
          </a:r>
          <a:r>
            <a:rPr lang="pt-BR" sz="2000">
              <a:gradFill flip="none" rotWithShape="1">
                <a:gsLst>
                  <a:gs pos="41000">
                    <a:srgbClr val="E424CD">
                      <a:lumMod val="67000"/>
                      <a:lumOff val="33000"/>
                    </a:srgbClr>
                  </a:gs>
                  <a:gs pos="72584">
                    <a:srgbClr val="A14AEA"/>
                  </a:gs>
                  <a:gs pos="75000">
                    <a:srgbClr val="8B57F3"/>
                  </a:gs>
                  <a:gs pos="100000">
                    <a:srgbClr val="5796F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185737</xdr:colOff>
      <xdr:row>7</xdr:row>
      <xdr:rowOff>104775</xdr:rowOff>
    </xdr:from>
    <xdr:to>
      <xdr:col>0</xdr:col>
      <xdr:colOff>1919287</xdr:colOff>
      <xdr:row>9</xdr:row>
      <xdr:rowOff>180975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185737" y="1695450"/>
          <a:ext cx="173355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185737</xdr:colOff>
      <xdr:row>10</xdr:row>
      <xdr:rowOff>57150</xdr:rowOff>
    </xdr:from>
    <xdr:to>
      <xdr:col>0</xdr:col>
      <xdr:colOff>1919287</xdr:colOff>
      <xdr:row>12</xdr:row>
      <xdr:rowOff>95250</xdr:rowOff>
    </xdr:to>
    <xdr:sp macro="" textlink=""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185737" y="2238375"/>
          <a:ext cx="1733550" cy="457200"/>
        </a:xfrm>
        <a:prstGeom prst="roundRect">
          <a:avLst>
            <a:gd name="adj" fmla="val 50000"/>
          </a:avLst>
        </a:prstGeom>
        <a:gradFill>
          <a:gsLst>
            <a:gs pos="18000">
              <a:srgbClr val="E424CD">
                <a:lumMod val="67000"/>
                <a:lumOff val="33000"/>
              </a:srgbClr>
            </a:gs>
            <a:gs pos="72584">
              <a:srgbClr val="A14AEA"/>
            </a:gs>
            <a:gs pos="82000">
              <a:srgbClr val="8B57F3">
                <a:alpha val="79000"/>
                <a:lumMod val="80000"/>
                <a:lumOff val="20000"/>
              </a:srgbClr>
            </a:gs>
          </a:gsLst>
          <a:lin ang="189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185737</xdr:colOff>
      <xdr:row>12</xdr:row>
      <xdr:rowOff>180975</xdr:rowOff>
    </xdr:from>
    <xdr:to>
      <xdr:col>0</xdr:col>
      <xdr:colOff>1919287</xdr:colOff>
      <xdr:row>15</xdr:row>
      <xdr:rowOff>47625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185737" y="2781300"/>
          <a:ext cx="173355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398069</xdr:colOff>
      <xdr:row>16</xdr:row>
      <xdr:rowOff>180976</xdr:rowOff>
    </xdr:from>
    <xdr:to>
      <xdr:col>0</xdr:col>
      <xdr:colOff>1626794</xdr:colOff>
      <xdr:row>18</xdr:row>
      <xdr:rowOff>95250</xdr:rowOff>
    </xdr:to>
    <xdr:sp macro="" textlink="">
      <xdr:nvSpPr>
        <xdr:cNvPr id="8" name="Retângulo 7"/>
        <xdr:cNvSpPr/>
      </xdr:nvSpPr>
      <xdr:spPr>
        <a:xfrm>
          <a:off x="398069" y="3581401"/>
          <a:ext cx="122872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DIO </a:t>
          </a:r>
          <a:r>
            <a:rPr lang="pt-BR" sz="1100" baseline="0">
              <a:solidFill>
                <a:srgbClr val="E424CD"/>
              </a:solidFill>
            </a:rPr>
            <a:t>💜</a:t>
          </a:r>
          <a:endParaRPr lang="pt-BR" sz="1100">
            <a:solidFill>
              <a:srgbClr val="E424CD"/>
            </a:solidFill>
          </a:endParaRPr>
        </a:p>
      </xdr:txBody>
    </xdr:sp>
    <xdr:clientData/>
  </xdr:twoCellAnchor>
  <xdr:twoCellAnchor editAs="absolute">
    <xdr:from>
      <xdr:col>0</xdr:col>
      <xdr:colOff>323850</xdr:colOff>
      <xdr:row>16</xdr:row>
      <xdr:rowOff>147637</xdr:rowOff>
    </xdr:from>
    <xdr:to>
      <xdr:col>0</xdr:col>
      <xdr:colOff>1701012</xdr:colOff>
      <xdr:row>16</xdr:row>
      <xdr:rowOff>161926</xdr:rowOff>
    </xdr:to>
    <xdr:cxnSp macro="">
      <xdr:nvCxnSpPr>
        <xdr:cNvPr id="9" name="Conector reto 8"/>
        <xdr:cNvCxnSpPr/>
      </xdr:nvCxnSpPr>
      <xdr:spPr>
        <a:xfrm flipV="1">
          <a:off x="323850" y="3548062"/>
          <a:ext cx="1377162" cy="14289"/>
        </a:xfrm>
        <a:prstGeom prst="line">
          <a:avLst/>
        </a:prstGeom>
        <a:ln w="22225">
          <a:gradFill>
            <a:gsLst>
              <a:gs pos="0">
                <a:srgbClr val="E424CD"/>
              </a:gs>
              <a:gs pos="74000">
                <a:srgbClr val="8B57F3"/>
              </a:gs>
              <a:gs pos="100000">
                <a:srgbClr val="5796F3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898525</xdr:colOff>
      <xdr:row>18</xdr:row>
      <xdr:rowOff>9525</xdr:rowOff>
    </xdr:from>
    <xdr:to>
      <xdr:col>0</xdr:col>
      <xdr:colOff>1203325</xdr:colOff>
      <xdr:row>19</xdr:row>
      <xdr:rowOff>123825</xdr:rowOff>
    </xdr:to>
    <xdr:pic>
      <xdr:nvPicPr>
        <xdr:cNvPr id="10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525" y="38100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114300</xdr:rowOff>
    </xdr:to>
    <xdr:sp macro="" textlink="">
      <xdr:nvSpPr>
        <xdr:cNvPr id="11" name="AutoShape 2" descr="Lion - Free animals icons"/>
        <xdr:cNvSpPr>
          <a:spLocks noChangeAspect="1" noChangeArrowheads="1"/>
        </xdr:cNvSpPr>
      </xdr:nvSpPr>
      <xdr:spPr bwMode="auto">
        <a:xfrm>
          <a:off x="2686050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2" name="AutoShape 2" descr="Lion - Free animals icons"/>
        <xdr:cNvSpPr>
          <a:spLocks noChangeAspect="1" noChangeArrowheads="1"/>
        </xdr:cNvSpPr>
      </xdr:nvSpPr>
      <xdr:spPr bwMode="auto">
        <a:xfrm>
          <a:off x="268605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4" name="AutoShape 2" descr="Lion - Free animals icons"/>
        <xdr:cNvSpPr>
          <a:spLocks noChangeAspect="1" noChangeArrowheads="1"/>
        </xdr:cNvSpPr>
      </xdr:nvSpPr>
      <xdr:spPr bwMode="auto">
        <a:xfrm>
          <a:off x="26860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5" name="AutoShape 2" descr="Lion - Free animals icons"/>
        <xdr:cNvSpPr>
          <a:spLocks noChangeAspect="1" noChangeArrowheads="1"/>
        </xdr:cNvSpPr>
      </xdr:nvSpPr>
      <xdr:spPr bwMode="auto">
        <a:xfrm>
          <a:off x="26860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6" name="AutoShape 2" descr="Lion - Free animals icons"/>
        <xdr:cNvSpPr>
          <a:spLocks noChangeAspect="1" noChangeArrowheads="1"/>
        </xdr:cNvSpPr>
      </xdr:nvSpPr>
      <xdr:spPr bwMode="auto">
        <a:xfrm>
          <a:off x="26860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" name="AutoShape 2" descr="Lion - Free animals icons"/>
        <xdr:cNvSpPr>
          <a:spLocks noChangeAspect="1" noChangeArrowheads="1"/>
        </xdr:cNvSpPr>
      </xdr:nvSpPr>
      <xdr:spPr bwMode="auto">
        <a:xfrm>
          <a:off x="26860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9" name="AutoShape 2" descr="Lion - Free animals icons"/>
        <xdr:cNvSpPr>
          <a:spLocks noChangeAspect="1" noChangeArrowheads="1"/>
        </xdr:cNvSpPr>
      </xdr:nvSpPr>
      <xdr:spPr bwMode="auto">
        <a:xfrm>
          <a:off x="2686050" y="15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20" name="AutoShape 2" descr="Lion - Free animals icons"/>
        <xdr:cNvSpPr>
          <a:spLocks noChangeAspect="1" noChangeArrowheads="1"/>
        </xdr:cNvSpPr>
      </xdr:nvSpPr>
      <xdr:spPr bwMode="auto">
        <a:xfrm>
          <a:off x="2686050" y="15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21" name="AutoShape 2" descr="Lion - Free animals icons"/>
        <xdr:cNvSpPr>
          <a:spLocks noChangeAspect="1" noChangeArrowheads="1"/>
        </xdr:cNvSpPr>
      </xdr:nvSpPr>
      <xdr:spPr bwMode="auto">
        <a:xfrm>
          <a:off x="26860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22" name="AutoShape 2" descr="Lion - Free animals icons"/>
        <xdr:cNvSpPr>
          <a:spLocks noChangeAspect="1" noChangeArrowheads="1"/>
        </xdr:cNvSpPr>
      </xdr:nvSpPr>
      <xdr:spPr bwMode="auto">
        <a:xfrm>
          <a:off x="26860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3" name="AutoShape 2" descr="Lion - Free animals icons"/>
        <xdr:cNvSpPr>
          <a:spLocks noChangeAspect="1" noChangeArrowheads="1"/>
        </xdr:cNvSpPr>
      </xdr:nvSpPr>
      <xdr:spPr bwMode="auto">
        <a:xfrm>
          <a:off x="268605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4" name="AutoShape 2" descr="Lion - Free animals icons"/>
        <xdr:cNvSpPr>
          <a:spLocks noChangeAspect="1" noChangeArrowheads="1"/>
        </xdr:cNvSpPr>
      </xdr:nvSpPr>
      <xdr:spPr bwMode="auto">
        <a:xfrm>
          <a:off x="2686050" y="15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5" name="AutoShape 2" descr="Lion - Free animals icons"/>
        <xdr:cNvSpPr>
          <a:spLocks noChangeAspect="1" noChangeArrowheads="1"/>
        </xdr:cNvSpPr>
      </xdr:nvSpPr>
      <xdr:spPr bwMode="auto">
        <a:xfrm>
          <a:off x="2686050" y="15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0</xdr:colOff>
      <xdr:row>22</xdr:row>
      <xdr:rowOff>95250</xdr:rowOff>
    </xdr:from>
    <xdr:to>
      <xdr:col>4</xdr:col>
      <xdr:colOff>19050</xdr:colOff>
      <xdr:row>24</xdr:row>
      <xdr:rowOff>152401</xdr:rowOff>
    </xdr:to>
    <xdr:sp macro="" textlink="">
      <xdr:nvSpPr>
        <xdr:cNvPr id="26" name="Retângulo 25">
          <a:hlinkClick xmlns:r="http://schemas.openxmlformats.org/officeDocument/2006/relationships" r:id="rId4"/>
        </xdr:cNvPr>
        <xdr:cNvSpPr/>
      </xdr:nvSpPr>
      <xdr:spPr>
        <a:xfrm>
          <a:off x="5505450" y="4714875"/>
          <a:ext cx="2905125" cy="438151"/>
        </a:xfrm>
        <a:prstGeom prst="rect">
          <a:avLst/>
        </a:prstGeom>
        <a:solidFill>
          <a:srgbClr val="8B57F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-&gt;</a:t>
          </a:r>
          <a:endParaRPr lang="pt-BR" sz="1100" b="1"/>
        </a:p>
      </xdr:txBody>
    </xdr:sp>
    <xdr:clientData/>
  </xdr:twoCellAnchor>
  <xdr:twoCellAnchor editAs="absolute">
    <xdr:from>
      <xdr:col>1</xdr:col>
      <xdr:colOff>571500</xdr:colOff>
      <xdr:row>22</xdr:row>
      <xdr:rowOff>95250</xdr:rowOff>
    </xdr:from>
    <xdr:to>
      <xdr:col>2</xdr:col>
      <xdr:colOff>2781300</xdr:colOff>
      <xdr:row>24</xdr:row>
      <xdr:rowOff>152401</xdr:rowOff>
    </xdr:to>
    <xdr:sp macro="" textlink="">
      <xdr:nvSpPr>
        <xdr:cNvPr id="27" name="Retângulo 26">
          <a:hlinkClick xmlns:r="http://schemas.openxmlformats.org/officeDocument/2006/relationships" r:id="rId2"/>
        </xdr:cNvPr>
        <xdr:cNvSpPr/>
      </xdr:nvSpPr>
      <xdr:spPr>
        <a:xfrm>
          <a:off x="2647950" y="4714875"/>
          <a:ext cx="2819400" cy="438151"/>
        </a:xfrm>
        <a:prstGeom prst="rect">
          <a:avLst/>
        </a:prstGeom>
        <a:solidFill>
          <a:srgbClr val="8B57F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&lt;- ANTERIOR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114300</xdr:rowOff>
    </xdr:to>
    <xdr:sp macro="" textlink="">
      <xdr:nvSpPr>
        <xdr:cNvPr id="2" name="AutoShape 2" descr="Lion - Free animals icons"/>
        <xdr:cNvSpPr>
          <a:spLocks noChangeAspect="1" noChangeArrowheads="1"/>
        </xdr:cNvSpPr>
      </xdr:nvSpPr>
      <xdr:spPr bwMode="auto">
        <a:xfrm>
          <a:off x="26860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566739</xdr:colOff>
      <xdr:row>2</xdr:row>
      <xdr:rowOff>28575</xdr:rowOff>
    </xdr:from>
    <xdr:to>
      <xdr:col>0</xdr:col>
      <xdr:colOff>1509714</xdr:colOff>
      <xdr:row>6</xdr:row>
      <xdr:rowOff>57150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9" y="581025"/>
          <a:ext cx="942975" cy="942975"/>
        </a:xfrm>
        <a:prstGeom prst="rect">
          <a:avLst/>
        </a:prstGeom>
      </xdr:spPr>
    </xdr:pic>
    <xdr:clientData/>
  </xdr:twoCellAnchor>
  <xdr:twoCellAnchor>
    <xdr:from>
      <xdr:col>0</xdr:col>
      <xdr:colOff>9526</xdr:colOff>
      <xdr:row>0</xdr:row>
      <xdr:rowOff>47625</xdr:rowOff>
    </xdr:from>
    <xdr:to>
      <xdr:col>0</xdr:col>
      <xdr:colOff>2066926</xdr:colOff>
      <xdr:row>2</xdr:row>
      <xdr:rowOff>76200</xdr:rowOff>
    </xdr:to>
    <xdr:sp macro="" textlink="">
      <xdr:nvSpPr>
        <xdr:cNvPr id="4" name="Retângulo 3"/>
        <xdr:cNvSpPr/>
      </xdr:nvSpPr>
      <xdr:spPr>
        <a:xfrm>
          <a:off x="9526" y="47625"/>
          <a:ext cx="20574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20000">
                    <a:schemeClr val="bg1">
                      <a:lumMod val="95000"/>
                    </a:schemeClr>
                  </a:gs>
                  <a:gs pos="71000">
                    <a:srgbClr val="E424CD"/>
                  </a:gs>
                  <a:gs pos="100000">
                    <a:srgbClr val="8B57F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>
              <a:latin typeface="Arial Black" panose="020B0A04020102020204" pitchFamily="34" charset="0"/>
            </a:rPr>
            <a:t> </a:t>
          </a:r>
          <a:r>
            <a:rPr lang="pt-BR" sz="2000">
              <a:gradFill flip="none" rotWithShape="1">
                <a:gsLst>
                  <a:gs pos="41000">
                    <a:srgbClr val="E424CD">
                      <a:lumMod val="67000"/>
                      <a:lumOff val="33000"/>
                    </a:srgbClr>
                  </a:gs>
                  <a:gs pos="72584">
                    <a:srgbClr val="A14AEA"/>
                  </a:gs>
                  <a:gs pos="75000">
                    <a:srgbClr val="8B57F3"/>
                  </a:gs>
                  <a:gs pos="100000">
                    <a:srgbClr val="5796F3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890000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185737</xdr:colOff>
      <xdr:row>7</xdr:row>
      <xdr:rowOff>19050</xdr:rowOff>
    </xdr:from>
    <xdr:to>
      <xdr:col>0</xdr:col>
      <xdr:colOff>1919287</xdr:colOff>
      <xdr:row>9</xdr:row>
      <xdr:rowOff>57150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185737" y="1695450"/>
          <a:ext cx="173355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185737</xdr:colOff>
      <xdr:row>9</xdr:row>
      <xdr:rowOff>142875</xdr:rowOff>
    </xdr:from>
    <xdr:to>
      <xdr:col>0</xdr:col>
      <xdr:colOff>1919287</xdr:colOff>
      <xdr:row>11</xdr:row>
      <xdr:rowOff>180975</xdr:rowOff>
    </xdr:to>
    <xdr:sp macro="" textlink=""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185737" y="2238375"/>
          <a:ext cx="1733550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185737</xdr:colOff>
      <xdr:row>12</xdr:row>
      <xdr:rowOff>57150</xdr:rowOff>
    </xdr:from>
    <xdr:to>
      <xdr:col>0</xdr:col>
      <xdr:colOff>1919287</xdr:colOff>
      <xdr:row>14</xdr:row>
      <xdr:rowOff>95250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185737" y="2781300"/>
          <a:ext cx="1733550" cy="457200"/>
        </a:xfrm>
        <a:prstGeom prst="roundRect">
          <a:avLst>
            <a:gd name="adj" fmla="val 50000"/>
          </a:avLst>
        </a:prstGeom>
        <a:gradFill>
          <a:gsLst>
            <a:gs pos="18000">
              <a:srgbClr val="E424CD">
                <a:lumMod val="67000"/>
                <a:lumOff val="33000"/>
              </a:srgbClr>
            </a:gs>
            <a:gs pos="72584">
              <a:srgbClr val="A14AEA"/>
            </a:gs>
            <a:gs pos="82000">
              <a:srgbClr val="8B57F3">
                <a:alpha val="79000"/>
                <a:lumMod val="80000"/>
                <a:lumOff val="20000"/>
              </a:srgbClr>
            </a:gs>
          </a:gsLst>
          <a:lin ang="189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Emoji" panose="020B0502040204020203" pitchFamily="34" charset="0"/>
              <a:ea typeface="Segoe UI Emoj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398069</xdr:colOff>
      <xdr:row>16</xdr:row>
      <xdr:rowOff>19051</xdr:rowOff>
    </xdr:from>
    <xdr:to>
      <xdr:col>0</xdr:col>
      <xdr:colOff>1626794</xdr:colOff>
      <xdr:row>17</xdr:row>
      <xdr:rowOff>123825</xdr:rowOff>
    </xdr:to>
    <xdr:sp macro="" textlink="">
      <xdr:nvSpPr>
        <xdr:cNvPr id="8" name="Retângulo 7"/>
        <xdr:cNvSpPr/>
      </xdr:nvSpPr>
      <xdr:spPr>
        <a:xfrm>
          <a:off x="398069" y="3581401"/>
          <a:ext cx="122872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DIO </a:t>
          </a:r>
          <a:r>
            <a:rPr lang="pt-BR" sz="1100" baseline="0">
              <a:solidFill>
                <a:srgbClr val="E424CD"/>
              </a:solidFill>
            </a:rPr>
            <a:t>💜</a:t>
          </a:r>
          <a:endParaRPr lang="pt-BR" sz="1100">
            <a:solidFill>
              <a:srgbClr val="E424CD"/>
            </a:solidFill>
          </a:endParaRPr>
        </a:p>
      </xdr:txBody>
    </xdr:sp>
    <xdr:clientData/>
  </xdr:twoCellAnchor>
  <xdr:twoCellAnchor editAs="absolute">
    <xdr:from>
      <xdr:col>0</xdr:col>
      <xdr:colOff>323850</xdr:colOff>
      <xdr:row>15</xdr:row>
      <xdr:rowOff>195262</xdr:rowOff>
    </xdr:from>
    <xdr:to>
      <xdr:col>0</xdr:col>
      <xdr:colOff>1701012</xdr:colOff>
      <xdr:row>16</xdr:row>
      <xdr:rowOff>1</xdr:rowOff>
    </xdr:to>
    <xdr:cxnSp macro="">
      <xdr:nvCxnSpPr>
        <xdr:cNvPr id="9" name="Conector reto 8"/>
        <xdr:cNvCxnSpPr/>
      </xdr:nvCxnSpPr>
      <xdr:spPr>
        <a:xfrm flipV="1">
          <a:off x="323850" y="3548062"/>
          <a:ext cx="1377162" cy="14289"/>
        </a:xfrm>
        <a:prstGeom prst="line">
          <a:avLst/>
        </a:prstGeom>
        <a:ln w="22225">
          <a:gradFill>
            <a:gsLst>
              <a:gs pos="0">
                <a:srgbClr val="E424CD"/>
              </a:gs>
              <a:gs pos="74000">
                <a:srgbClr val="8B57F3"/>
              </a:gs>
              <a:gs pos="100000">
                <a:srgbClr val="5796F3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17</xdr:row>
      <xdr:rowOff>38100</xdr:rowOff>
    </xdr:from>
    <xdr:to>
      <xdr:col>0</xdr:col>
      <xdr:colOff>1193800</xdr:colOff>
      <xdr:row>18</xdr:row>
      <xdr:rowOff>133350</xdr:rowOff>
    </xdr:to>
    <xdr:pic>
      <xdr:nvPicPr>
        <xdr:cNvPr id="11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3810000"/>
          <a:ext cx="304800" cy="30480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85725</xdr:colOff>
      <xdr:row>0</xdr:row>
      <xdr:rowOff>104775</xdr:rowOff>
    </xdr:from>
    <xdr:to>
      <xdr:col>3</xdr:col>
      <xdr:colOff>95250</xdr:colOff>
      <xdr:row>1</xdr:row>
      <xdr:rowOff>47625</xdr:rowOff>
    </xdr:to>
    <xdr:sp macro="" textlink="">
      <xdr:nvSpPr>
        <xdr:cNvPr id="12" name="Retângulo 11">
          <a:hlinkClick xmlns:r="http://schemas.openxmlformats.org/officeDocument/2006/relationships" r:id="rId3"/>
        </xdr:cNvPr>
        <xdr:cNvSpPr/>
      </xdr:nvSpPr>
      <xdr:spPr>
        <a:xfrm>
          <a:off x="2409825" y="104775"/>
          <a:ext cx="1609725" cy="219075"/>
        </a:xfrm>
        <a:prstGeom prst="rect">
          <a:avLst/>
        </a:prstGeom>
        <a:solidFill>
          <a:srgbClr val="8B57F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&lt;- ANTERIOR</a:t>
          </a:r>
          <a:endParaRPr lang="pt-BR" sz="1100" b="1"/>
        </a:p>
      </xdr:txBody>
    </xdr:sp>
    <xdr:clientData/>
  </xdr:two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3" name="AutoShape 2" descr="Lion - Free animals icons"/>
        <xdr:cNvSpPr>
          <a:spLocks noChangeAspect="1" noChangeArrowheads="1"/>
        </xdr:cNvSpPr>
      </xdr:nvSpPr>
      <xdr:spPr bwMode="auto">
        <a:xfrm>
          <a:off x="23241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" name="AutoShape 2" descr="Lion - Free animals icons"/>
        <xdr:cNvSpPr>
          <a:spLocks noChangeAspect="1" noChangeArrowheads="1"/>
        </xdr:cNvSpPr>
      </xdr:nvSpPr>
      <xdr:spPr bwMode="auto">
        <a:xfrm>
          <a:off x="23241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752475</xdr:colOff>
      <xdr:row>0</xdr:row>
      <xdr:rowOff>0</xdr:rowOff>
    </xdr:from>
    <xdr:to>
      <xdr:col>8</xdr:col>
      <xdr:colOff>1581149</xdr:colOff>
      <xdr:row>3</xdr:row>
      <xdr:rowOff>190499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C8:E31" totalsRowCount="1" headerRowDxfId="15" dataDxfId="14">
  <autoFilter ref="C8:E30"/>
  <tableColumns count="3">
    <tableColumn id="1" name="DATA" totalsRowLabel="Total" dataDxfId="13" totalsRowDxfId="12"/>
    <tableColumn id="2" name="CATEGORIA" dataDxfId="11" totalsRowDxfId="10"/>
    <tableColumn id="3" name="VALOR" totalsRowFunction="sum" dataDxfId="9" totalsRowDxfId="8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G8:I31" totalsRowCount="1" headerRowDxfId="7" dataDxfId="6">
  <autoFilter ref="G8:I30"/>
  <tableColumns count="3">
    <tableColumn id="1" name="DATA" totalsRowLabel="Total" dataDxfId="5" totalsRowDxfId="4"/>
    <tableColumn id="2" name="CATEGORIA" dataDxfId="3" totalsRowDxfId="2"/>
    <tableColumn id="3" name="VALOR" totalsRowFunction="sum" dataDxfId="1" totalsRow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NOOPYCHARLES@E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3:E24"/>
  <sheetViews>
    <sheetView showGridLines="0" showRowColHeaders="0" tabSelected="1" workbookViewId="0">
      <selection activeCell="D6" sqref="D6"/>
    </sheetView>
  </sheetViews>
  <sheetFormatPr defaultRowHeight="15"/>
  <cols>
    <col min="1" max="1" width="31.140625" style="1" customWidth="1"/>
    <col min="3" max="3" width="42.28515625" customWidth="1"/>
    <col min="4" max="4" width="43.28515625" customWidth="1"/>
  </cols>
  <sheetData>
    <row r="3" spans="3:5" ht="19.5" customHeight="1" thickBot="1">
      <c r="C3" s="4" t="s">
        <v>14</v>
      </c>
      <c r="D3" s="4"/>
      <c r="E3" s="4"/>
    </row>
    <row r="4" spans="3:5" ht="21.95" customHeight="1" thickTop="1">
      <c r="C4" s="23" t="s">
        <v>15</v>
      </c>
      <c r="D4" s="23"/>
      <c r="E4" s="23"/>
    </row>
    <row r="6" spans="3:5" ht="16.5">
      <c r="C6" s="3" t="s">
        <v>0</v>
      </c>
      <c r="D6" s="9" t="s">
        <v>17</v>
      </c>
    </row>
    <row r="7" spans="3:5" ht="16.5">
      <c r="C7" s="3" t="s">
        <v>1</v>
      </c>
      <c r="D7" s="10">
        <v>11122233344</v>
      </c>
    </row>
    <row r="8" spans="3:5" ht="16.5">
      <c r="C8" s="3" t="s">
        <v>2</v>
      </c>
      <c r="D8" s="11">
        <v>34605</v>
      </c>
    </row>
    <row r="9" spans="3:5" ht="16.5">
      <c r="C9" s="3" t="s">
        <v>11</v>
      </c>
      <c r="D9" s="9">
        <v>31713388</v>
      </c>
    </row>
    <row r="10" spans="3:5" ht="16.5">
      <c r="C10" s="3" t="s">
        <v>10</v>
      </c>
      <c r="D10" s="9" t="s">
        <v>21</v>
      </c>
    </row>
    <row r="11" spans="3:5" ht="16.5">
      <c r="C11" s="3" t="s">
        <v>12</v>
      </c>
      <c r="D11" s="9" t="s">
        <v>19</v>
      </c>
    </row>
    <row r="12" spans="3:5" ht="16.5">
      <c r="C12" s="3" t="s">
        <v>3</v>
      </c>
      <c r="D12" s="9" t="s">
        <v>20</v>
      </c>
    </row>
    <row r="13" spans="3:5" ht="16.5">
      <c r="C13" s="3" t="s">
        <v>4</v>
      </c>
      <c r="D13" s="12">
        <v>987654321</v>
      </c>
    </row>
    <row r="14" spans="3:5" ht="16.5">
      <c r="C14" s="3" t="s">
        <v>5</v>
      </c>
      <c r="D14" s="13">
        <v>1111111111</v>
      </c>
    </row>
    <row r="15" spans="3:5" ht="16.5">
      <c r="C15" s="3" t="s">
        <v>6</v>
      </c>
      <c r="D15" s="14">
        <v>11911111111</v>
      </c>
    </row>
    <row r="16" spans="3:5" ht="16.5">
      <c r="C16" s="3" t="s">
        <v>13</v>
      </c>
      <c r="D16" s="15" t="s">
        <v>18</v>
      </c>
    </row>
    <row r="17" spans="3:4" ht="16.5">
      <c r="C17" s="3" t="s">
        <v>7</v>
      </c>
      <c r="D17" s="9" t="s">
        <v>16</v>
      </c>
    </row>
    <row r="18" spans="3:4" ht="16.5">
      <c r="C18" s="3" t="s">
        <v>8</v>
      </c>
      <c r="D18" s="9" t="s">
        <v>16</v>
      </c>
    </row>
    <row r="19" spans="3:4" ht="16.5">
      <c r="C19" s="3" t="s">
        <v>9</v>
      </c>
      <c r="D19" s="9" t="s">
        <v>16</v>
      </c>
    </row>
    <row r="24" spans="3:4">
      <c r="C24" s="5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3:E22"/>
  <sheetViews>
    <sheetView showGridLines="0" workbookViewId="0">
      <selection activeCell="D22" sqref="D22"/>
    </sheetView>
  </sheetViews>
  <sheetFormatPr defaultRowHeight="15"/>
  <cols>
    <col min="1" max="1" width="31.140625" style="1" customWidth="1"/>
    <col min="3" max="3" width="42.28515625" customWidth="1"/>
    <col min="4" max="4" width="43.28515625" customWidth="1"/>
  </cols>
  <sheetData>
    <row r="3" spans="3:5" ht="20.25" thickBot="1">
      <c r="C3" s="4" t="s">
        <v>22</v>
      </c>
      <c r="D3" s="4"/>
      <c r="E3" s="4"/>
    </row>
    <row r="4" spans="3:5" ht="21.95" customHeight="1" thickTop="1">
      <c r="C4" s="23" t="s">
        <v>23</v>
      </c>
      <c r="D4" s="23"/>
      <c r="E4" s="23"/>
    </row>
    <row r="6" spans="3:5" ht="16.5">
      <c r="C6" s="2" t="s">
        <v>82</v>
      </c>
    </row>
    <row r="7" spans="3:5" ht="21.95" customHeight="1">
      <c r="C7" s="24">
        <f>SUM(D11,D16,D21)</f>
        <v>1500000</v>
      </c>
      <c r="D7" s="25"/>
    </row>
    <row r="9" spans="3:5">
      <c r="C9" s="8" t="s">
        <v>79</v>
      </c>
    </row>
    <row r="10" spans="3:5" ht="16.5">
      <c r="C10" s="3" t="s">
        <v>24</v>
      </c>
      <c r="D10" s="9" t="s">
        <v>77</v>
      </c>
    </row>
    <row r="11" spans="3:5" ht="16.5">
      <c r="C11" s="3" t="s">
        <v>25</v>
      </c>
      <c r="D11" s="16">
        <v>500000</v>
      </c>
    </row>
    <row r="12" spans="3:5" ht="16.5">
      <c r="C12" s="3" t="s">
        <v>26</v>
      </c>
      <c r="D12" s="9" t="s">
        <v>78</v>
      </c>
    </row>
    <row r="14" spans="3:5">
      <c r="C14" s="8" t="s">
        <v>80</v>
      </c>
    </row>
    <row r="15" spans="3:5" ht="16.5">
      <c r="C15" s="3" t="s">
        <v>24</v>
      </c>
      <c r="D15" s="9" t="s">
        <v>70</v>
      </c>
    </row>
    <row r="16" spans="3:5" ht="16.5">
      <c r="C16" s="3" t="s">
        <v>25</v>
      </c>
      <c r="D16" s="16">
        <v>500000</v>
      </c>
    </row>
    <row r="17" spans="3:4" ht="16.5">
      <c r="C17" s="3" t="s">
        <v>26</v>
      </c>
      <c r="D17" s="9" t="s">
        <v>78</v>
      </c>
    </row>
    <row r="19" spans="3:4">
      <c r="C19" s="8" t="s">
        <v>81</v>
      </c>
    </row>
    <row r="20" spans="3:4" ht="16.5">
      <c r="C20" s="3" t="s">
        <v>24</v>
      </c>
      <c r="D20" s="9" t="s">
        <v>46</v>
      </c>
    </row>
    <row r="21" spans="3:4" ht="16.5">
      <c r="C21" s="3" t="s">
        <v>25</v>
      </c>
      <c r="D21" s="16">
        <v>500000</v>
      </c>
    </row>
    <row r="22" spans="3:4" ht="16.5">
      <c r="C22" s="3" t="s">
        <v>26</v>
      </c>
      <c r="D22" s="9" t="s">
        <v>78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me um banco ví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I31"/>
  <sheetViews>
    <sheetView showGridLines="0" topLeftCell="C1" zoomScaleNormal="100" workbookViewId="0">
      <selection activeCell="G21" sqref="G21"/>
    </sheetView>
  </sheetViews>
  <sheetFormatPr defaultRowHeight="15"/>
  <cols>
    <col min="1" max="1" width="31.140625" style="1" customWidth="1"/>
    <col min="2" max="2" width="3.7109375" customWidth="1"/>
    <col min="3" max="5" width="24" customWidth="1"/>
    <col min="6" max="6" width="3.7109375" customWidth="1"/>
    <col min="7" max="9" width="24" customWidth="1"/>
    <col min="10" max="10" width="3.7109375" customWidth="1"/>
  </cols>
  <sheetData>
    <row r="1" spans="3:9" ht="21.95" customHeight="1"/>
    <row r="2" spans="3:9" ht="21.95" customHeight="1"/>
    <row r="3" spans="3:9" ht="20.25" thickBot="1">
      <c r="C3" s="4" t="s">
        <v>83</v>
      </c>
      <c r="D3" s="4"/>
      <c r="E3" s="4"/>
      <c r="G3" s="4" t="s">
        <v>90</v>
      </c>
      <c r="H3" s="4"/>
      <c r="I3" s="4"/>
    </row>
    <row r="4" spans="3:9" ht="21.95" customHeight="1" thickTop="1">
      <c r="C4" s="23" t="s">
        <v>92</v>
      </c>
      <c r="D4" s="23"/>
      <c r="E4" s="23"/>
      <c r="G4" s="23" t="s">
        <v>91</v>
      </c>
      <c r="H4" s="23"/>
      <c r="I4" s="23"/>
    </row>
    <row r="5" spans="3:9">
      <c r="C5" s="20" t="s">
        <v>98</v>
      </c>
      <c r="D5" s="20" t="s">
        <v>99</v>
      </c>
      <c r="E5" s="20" t="s">
        <v>100</v>
      </c>
      <c r="G5" s="20" t="s">
        <v>101</v>
      </c>
      <c r="H5" s="20" t="s">
        <v>102</v>
      </c>
      <c r="I5" s="20" t="s">
        <v>103</v>
      </c>
    </row>
    <row r="6" spans="3:9">
      <c r="C6" s="21">
        <f>SUMIF(Tabela1[[#All],[CATEGORIA]],"Holerite",Tabela1[[#All],[VALOR]])</f>
        <v>11400</v>
      </c>
      <c r="D6" s="21">
        <f>SUMIF(Tabela1[[#All],[CATEGORIA]],"PJ",Tabela1[[#All],[VALOR]])</f>
        <v>6500</v>
      </c>
      <c r="E6" s="21">
        <f>SUMIF(Tabela1[[#All],[CATEGORIA]],"Freelancer",Tabela1[[#All],[VALOR]])</f>
        <v>400</v>
      </c>
      <c r="G6" s="21">
        <f>SUMIF(Tabela13[[#All],[CATEGORIA]],"Médico",Tabela13[[#All],[VALOR]])</f>
        <v>1450</v>
      </c>
      <c r="H6" s="21">
        <f>SUMIF(Tabela13[[#All],[CATEGORIA]],"Educação",Tabela13[[#All],[VALOR]])</f>
        <v>1200</v>
      </c>
      <c r="I6" s="21">
        <f>SUMIF(Tabela13[[#All],[CATEGORIA]],"Doação",Tabela13[[#All],[VALOR]])</f>
        <v>350</v>
      </c>
    </row>
    <row r="7" spans="3:9" ht="16.5">
      <c r="C7" s="26" t="s">
        <v>87</v>
      </c>
      <c r="D7" s="27"/>
      <c r="E7" s="27"/>
      <c r="G7" s="26" t="s">
        <v>89</v>
      </c>
      <c r="H7" s="27"/>
      <c r="I7" s="27"/>
    </row>
    <row r="8" spans="3:9" ht="16.5">
      <c r="C8" s="22" t="s">
        <v>84</v>
      </c>
      <c r="D8" s="22" t="s">
        <v>85</v>
      </c>
      <c r="E8" s="22" t="s">
        <v>86</v>
      </c>
      <c r="G8" s="22" t="s">
        <v>84</v>
      </c>
      <c r="H8" s="22" t="s">
        <v>85</v>
      </c>
      <c r="I8" s="22" t="s">
        <v>86</v>
      </c>
    </row>
    <row r="9" spans="3:9" ht="16.5">
      <c r="C9" s="17">
        <v>45996</v>
      </c>
      <c r="D9" s="18" t="s">
        <v>88</v>
      </c>
      <c r="E9" s="19">
        <v>3000</v>
      </c>
      <c r="G9" s="17">
        <v>45992</v>
      </c>
      <c r="H9" s="18" t="s">
        <v>93</v>
      </c>
      <c r="I9" s="19">
        <v>500</v>
      </c>
    </row>
    <row r="10" spans="3:9" ht="16.5">
      <c r="C10" s="17">
        <v>46019</v>
      </c>
      <c r="D10" s="18" t="s">
        <v>94</v>
      </c>
      <c r="E10" s="19">
        <v>1000</v>
      </c>
      <c r="G10" s="17">
        <v>45997</v>
      </c>
      <c r="H10" s="18" t="s">
        <v>97</v>
      </c>
      <c r="I10" s="19">
        <v>300</v>
      </c>
    </row>
    <row r="11" spans="3:9" ht="16.5">
      <c r="C11" s="17">
        <v>46014</v>
      </c>
      <c r="D11" s="18" t="s">
        <v>95</v>
      </c>
      <c r="E11" s="19">
        <v>200</v>
      </c>
      <c r="G11" s="17">
        <v>46015</v>
      </c>
      <c r="H11" s="18" t="s">
        <v>96</v>
      </c>
      <c r="I11" s="19">
        <v>100</v>
      </c>
    </row>
    <row r="12" spans="3:9" ht="16.5">
      <c r="C12" s="17">
        <v>45966</v>
      </c>
      <c r="D12" s="18" t="s">
        <v>88</v>
      </c>
      <c r="E12" s="19">
        <v>2500</v>
      </c>
      <c r="G12" s="17">
        <v>45962</v>
      </c>
      <c r="H12" s="18" t="s">
        <v>93</v>
      </c>
      <c r="I12" s="19">
        <v>100</v>
      </c>
    </row>
    <row r="13" spans="3:9" ht="16.5">
      <c r="C13" s="17">
        <v>45989</v>
      </c>
      <c r="D13" s="18" t="s">
        <v>94</v>
      </c>
      <c r="E13" s="19">
        <v>2000</v>
      </c>
      <c r="G13" s="17">
        <v>45967</v>
      </c>
      <c r="H13" s="18" t="s">
        <v>97</v>
      </c>
      <c r="I13" s="19">
        <v>300</v>
      </c>
    </row>
    <row r="14" spans="3:9" ht="16.5">
      <c r="C14" s="17">
        <v>45984</v>
      </c>
      <c r="D14" s="18" t="s">
        <v>95</v>
      </c>
      <c r="E14" s="19">
        <v>100</v>
      </c>
      <c r="G14" s="17">
        <v>45985</v>
      </c>
      <c r="H14" s="18" t="s">
        <v>96</v>
      </c>
      <c r="I14" s="19">
        <v>50</v>
      </c>
    </row>
    <row r="15" spans="3:9" ht="16.5">
      <c r="C15" s="17">
        <v>45935</v>
      </c>
      <c r="D15" s="18" t="s">
        <v>88</v>
      </c>
      <c r="E15" s="19">
        <v>2900</v>
      </c>
      <c r="G15" s="17">
        <v>45931</v>
      </c>
      <c r="H15" s="18" t="s">
        <v>93</v>
      </c>
      <c r="I15" s="19">
        <v>800</v>
      </c>
    </row>
    <row r="16" spans="3:9" ht="16.5">
      <c r="C16" s="17">
        <v>45958</v>
      </c>
      <c r="D16" s="18" t="s">
        <v>94</v>
      </c>
      <c r="E16" s="19">
        <v>1500</v>
      </c>
      <c r="G16" s="17">
        <v>45936</v>
      </c>
      <c r="H16" s="18" t="s">
        <v>97</v>
      </c>
      <c r="I16" s="19">
        <v>300</v>
      </c>
    </row>
    <row r="17" spans="3:9" ht="16.5">
      <c r="C17" s="17">
        <v>45953</v>
      </c>
      <c r="D17" s="18" t="s">
        <v>95</v>
      </c>
      <c r="E17" s="19">
        <v>50</v>
      </c>
      <c r="G17" s="17">
        <v>45954</v>
      </c>
      <c r="H17" s="18" t="s">
        <v>96</v>
      </c>
      <c r="I17" s="19">
        <v>100</v>
      </c>
    </row>
    <row r="18" spans="3:9" ht="16.5">
      <c r="C18" s="17">
        <v>45935</v>
      </c>
      <c r="D18" s="18" t="s">
        <v>88</v>
      </c>
      <c r="E18" s="19">
        <v>3000</v>
      </c>
      <c r="G18" s="17">
        <v>45931</v>
      </c>
      <c r="H18" s="18" t="s">
        <v>93</v>
      </c>
      <c r="I18" s="19">
        <v>50</v>
      </c>
    </row>
    <row r="19" spans="3:9" ht="16.5">
      <c r="C19" s="17">
        <v>45958</v>
      </c>
      <c r="D19" s="18" t="s">
        <v>94</v>
      </c>
      <c r="E19" s="19">
        <v>2000</v>
      </c>
      <c r="G19" s="17">
        <v>45936</v>
      </c>
      <c r="H19" s="18" t="s">
        <v>97</v>
      </c>
      <c r="I19" s="19">
        <v>300</v>
      </c>
    </row>
    <row r="20" spans="3:9" ht="16.5">
      <c r="C20" s="17">
        <v>45953</v>
      </c>
      <c r="D20" s="18" t="s">
        <v>95</v>
      </c>
      <c r="E20" s="19">
        <v>50</v>
      </c>
      <c r="G20" s="17">
        <v>45954</v>
      </c>
      <c r="H20" s="18" t="s">
        <v>96</v>
      </c>
      <c r="I20" s="19">
        <v>100</v>
      </c>
    </row>
    <row r="21" spans="3:9" ht="16.5">
      <c r="C21" s="17"/>
      <c r="D21" s="18"/>
      <c r="E21" s="19"/>
      <c r="G21" s="17"/>
      <c r="H21" s="18"/>
      <c r="I21" s="19"/>
    </row>
    <row r="22" spans="3:9" ht="16.5">
      <c r="C22" s="17"/>
      <c r="D22" s="18"/>
      <c r="E22" s="19"/>
      <c r="G22" s="17"/>
      <c r="H22" s="18"/>
      <c r="I22" s="19"/>
    </row>
    <row r="23" spans="3:9" ht="16.5">
      <c r="C23" s="17"/>
      <c r="D23" s="18"/>
      <c r="E23" s="19"/>
      <c r="G23" s="17"/>
      <c r="H23" s="18"/>
      <c r="I23" s="19"/>
    </row>
    <row r="24" spans="3:9" ht="16.5">
      <c r="C24" s="17"/>
      <c r="D24" s="18"/>
      <c r="E24" s="19"/>
      <c r="G24" s="17"/>
      <c r="H24" s="18"/>
      <c r="I24" s="19"/>
    </row>
    <row r="25" spans="3:9" ht="16.5">
      <c r="C25" s="17"/>
      <c r="D25" s="18"/>
      <c r="E25" s="19"/>
      <c r="G25" s="17"/>
      <c r="H25" s="18"/>
      <c r="I25" s="19"/>
    </row>
    <row r="26" spans="3:9" ht="16.5">
      <c r="C26" s="17"/>
      <c r="D26" s="18"/>
      <c r="E26" s="19"/>
      <c r="G26" s="17"/>
      <c r="H26" s="18"/>
      <c r="I26" s="19"/>
    </row>
    <row r="27" spans="3:9" ht="16.5">
      <c r="C27" s="17"/>
      <c r="D27" s="18"/>
      <c r="E27" s="19"/>
      <c r="G27" s="17"/>
      <c r="H27" s="18"/>
      <c r="I27" s="19"/>
    </row>
    <row r="28" spans="3:9" ht="16.5">
      <c r="C28" s="17"/>
      <c r="D28" s="18"/>
      <c r="E28" s="19"/>
      <c r="G28" s="17"/>
      <c r="H28" s="18"/>
      <c r="I28" s="19"/>
    </row>
    <row r="29" spans="3:9" ht="16.5">
      <c r="C29" s="17"/>
      <c r="D29" s="18"/>
      <c r="E29" s="19"/>
      <c r="G29" s="17"/>
      <c r="H29" s="18"/>
      <c r="I29" s="19"/>
    </row>
    <row r="30" spans="3:9" ht="16.5">
      <c r="C30" s="17"/>
      <c r="D30" s="18"/>
      <c r="E30" s="19"/>
      <c r="G30" s="17"/>
      <c r="H30" s="18"/>
      <c r="I30" s="19"/>
    </row>
    <row r="31" spans="3:9" ht="16.5">
      <c r="C31" s="18" t="s">
        <v>104</v>
      </c>
      <c r="D31" s="18"/>
      <c r="E31" s="19">
        <f>SUBTOTAL(109,Tabela1[VALOR])</f>
        <v>18300</v>
      </c>
      <c r="G31" s="18" t="s">
        <v>104</v>
      </c>
      <c r="H31" s="18"/>
      <c r="I31" s="19">
        <f>SUBTOTAL(109,Tabela13[VALOR])</f>
        <v>3000</v>
      </c>
    </row>
  </sheetData>
  <sheetProtection sheet="1" objects="1" scenarios="1" selectLockedCells="1"/>
  <mergeCells count="4">
    <mergeCell ref="C4:E4"/>
    <mergeCell ref="C7:E7"/>
    <mergeCell ref="G7:I7"/>
    <mergeCell ref="G4:I4"/>
  </mergeCells>
  <dataValidations count="2">
    <dataValidation type="list" allowBlank="1" showInputMessage="1" showErrorMessage="1" sqref="D9:D30">
      <formula1>"Holerite,PJ,Freelancer"</formula1>
    </dataValidation>
    <dataValidation type="list" allowBlank="1" showInputMessage="1" showErrorMessage="1" sqref="H9:H30">
      <formula1>"Médico,Educação,Doação"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topLeftCell="A4" workbookViewId="0">
      <selection sqref="A1:A1048576"/>
    </sheetView>
  </sheetViews>
  <sheetFormatPr defaultRowHeight="15"/>
  <cols>
    <col min="1" max="1" width="42.7109375" bestFit="1" customWidth="1"/>
  </cols>
  <sheetData>
    <row r="1" spans="1:1">
      <c r="A1" s="7" t="s">
        <v>27</v>
      </c>
    </row>
    <row r="2" spans="1:1">
      <c r="A2" s="6" t="s">
        <v>28</v>
      </c>
    </row>
    <row r="3" spans="1:1">
      <c r="A3" s="6" t="s">
        <v>29</v>
      </c>
    </row>
    <row r="4" spans="1:1">
      <c r="A4" s="6" t="s">
        <v>30</v>
      </c>
    </row>
    <row r="5" spans="1:1">
      <c r="A5" s="6" t="s">
        <v>31</v>
      </c>
    </row>
    <row r="6" spans="1:1">
      <c r="A6" s="6" t="s">
        <v>32</v>
      </c>
    </row>
    <row r="7" spans="1:1">
      <c r="A7" s="6" t="s">
        <v>33</v>
      </c>
    </row>
    <row r="8" spans="1:1">
      <c r="A8" s="6" t="s">
        <v>34</v>
      </c>
    </row>
    <row r="9" spans="1:1">
      <c r="A9" s="6" t="s">
        <v>35</v>
      </c>
    </row>
    <row r="10" spans="1:1">
      <c r="A10" s="6" t="s">
        <v>36</v>
      </c>
    </row>
    <row r="11" spans="1:1">
      <c r="A11" s="6" t="s">
        <v>37</v>
      </c>
    </row>
    <row r="12" spans="1:1">
      <c r="A12" s="6" t="s">
        <v>38</v>
      </c>
    </row>
    <row r="13" spans="1:1">
      <c r="A13" s="6" t="s">
        <v>39</v>
      </c>
    </row>
    <row r="14" spans="1:1">
      <c r="A14" s="6" t="s">
        <v>40</v>
      </c>
    </row>
    <row r="15" spans="1:1">
      <c r="A15" s="6" t="s">
        <v>41</v>
      </c>
    </row>
    <row r="16" spans="1:1">
      <c r="A16" s="6" t="s">
        <v>42</v>
      </c>
    </row>
    <row r="17" spans="1:1">
      <c r="A17" s="6" t="s">
        <v>43</v>
      </c>
    </row>
    <row r="18" spans="1:1">
      <c r="A18" s="6" t="s">
        <v>44</v>
      </c>
    </row>
    <row r="19" spans="1:1">
      <c r="A19" s="6" t="s">
        <v>45</v>
      </c>
    </row>
    <row r="20" spans="1:1">
      <c r="A20" s="6" t="s">
        <v>46</v>
      </c>
    </row>
    <row r="21" spans="1:1">
      <c r="A21" s="6" t="s">
        <v>47</v>
      </c>
    </row>
    <row r="22" spans="1:1">
      <c r="A22" s="6" t="s">
        <v>48</v>
      </c>
    </row>
    <row r="23" spans="1:1">
      <c r="A23" s="6" t="s">
        <v>49</v>
      </c>
    </row>
    <row r="24" spans="1:1">
      <c r="A24" s="6" t="s">
        <v>50</v>
      </c>
    </row>
    <row r="25" spans="1:1">
      <c r="A25" s="6" t="s">
        <v>51</v>
      </c>
    </row>
    <row r="26" spans="1:1">
      <c r="A26" s="6" t="s">
        <v>52</v>
      </c>
    </row>
    <row r="27" spans="1:1">
      <c r="A27" s="6" t="s">
        <v>53</v>
      </c>
    </row>
    <row r="28" spans="1:1">
      <c r="A28" s="6" t="s">
        <v>54</v>
      </c>
    </row>
    <row r="29" spans="1:1">
      <c r="A29" s="6" t="s">
        <v>55</v>
      </c>
    </row>
    <row r="30" spans="1:1">
      <c r="A30" s="6" t="s">
        <v>56</v>
      </c>
    </row>
    <row r="31" spans="1:1">
      <c r="A31" s="6" t="s">
        <v>57</v>
      </c>
    </row>
    <row r="32" spans="1:1">
      <c r="A32" s="6" t="s">
        <v>58</v>
      </c>
    </row>
    <row r="33" spans="1:1">
      <c r="A33" s="6" t="s">
        <v>59</v>
      </c>
    </row>
    <row r="34" spans="1:1">
      <c r="A34" s="6" t="s">
        <v>60</v>
      </c>
    </row>
    <row r="35" spans="1:1">
      <c r="A35" s="6" t="s">
        <v>61</v>
      </c>
    </row>
    <row r="36" spans="1:1">
      <c r="A36" s="6" t="s">
        <v>62</v>
      </c>
    </row>
    <row r="37" spans="1:1">
      <c r="A37" s="6" t="s">
        <v>63</v>
      </c>
    </row>
    <row r="38" spans="1:1">
      <c r="A38" s="6" t="s">
        <v>64</v>
      </c>
    </row>
    <row r="39" spans="1:1">
      <c r="A39" s="6" t="s">
        <v>65</v>
      </c>
    </row>
    <row r="40" spans="1:1">
      <c r="A40" s="6" t="s">
        <v>66</v>
      </c>
    </row>
    <row r="41" spans="1:1">
      <c r="A41" s="6" t="s">
        <v>67</v>
      </c>
    </row>
    <row r="42" spans="1:1">
      <c r="A42" s="6" t="s">
        <v>68</v>
      </c>
    </row>
    <row r="43" spans="1:1">
      <c r="A43" s="6" t="s">
        <v>69</v>
      </c>
    </row>
    <row r="44" spans="1:1">
      <c r="A44" s="6" t="s">
        <v>70</v>
      </c>
    </row>
    <row r="45" spans="1:1">
      <c r="A45" s="6" t="s">
        <v>71</v>
      </c>
    </row>
    <row r="46" spans="1:1">
      <c r="A46" s="6" t="s">
        <v>72</v>
      </c>
    </row>
    <row r="47" spans="1:1">
      <c r="A47" s="6" t="s">
        <v>73</v>
      </c>
    </row>
    <row r="48" spans="1:1">
      <c r="A48" s="6" t="s">
        <v>74</v>
      </c>
    </row>
    <row r="49" spans="1:1">
      <c r="A49" s="6" t="s">
        <v>75</v>
      </c>
    </row>
    <row r="50" spans="1:1">
      <c r="A50" s="6" t="s">
        <v>76</v>
      </c>
    </row>
    <row r="51" spans="1:1">
      <c r="A51" s="6" t="s">
        <v>77</v>
      </c>
    </row>
  </sheetData>
  <sortState ref="A2:A51">
    <sortCondition ref="A2:A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Naira Nascimento</dc:creator>
  <cp:lastModifiedBy>Naira Nascimento</cp:lastModifiedBy>
  <dcterms:created xsi:type="dcterms:W3CDTF">2025-12-28T11:28:47Z</dcterms:created>
  <dcterms:modified xsi:type="dcterms:W3CDTF">2025-12-29T11:17:51Z</dcterms:modified>
</cp:coreProperties>
</file>